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da\Documents\"/>
    </mc:Choice>
  </mc:AlternateContent>
  <xr:revisionPtr revIDLastSave="0" documentId="8_{74BC61F2-BA78-4445-97EE-C8A829A11D4F}" xr6:coauthVersionLast="47" xr6:coauthVersionMax="47" xr10:uidLastSave="{00000000-0000-0000-0000-000000000000}"/>
  <bookViews>
    <workbookView xWindow="-108" yWindow="-108" windowWidth="23256" windowHeight="12456" activeTab="2" xr2:uid="{BA95A8CA-825A-4B56-AEAE-838AF128A9BC}"/>
  </bookViews>
  <sheets>
    <sheet name="Sheet1" sheetId="1" r:id="rId1"/>
    <sheet name="Sheet2" sheetId="2" r:id="rId2"/>
    <sheet name="Sheet3" sheetId="3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C18" i="3"/>
  <c r="C19" i="3"/>
  <c r="C20" i="3"/>
  <c r="C21" i="3"/>
  <c r="C22" i="3"/>
  <c r="C23" i="3"/>
  <c r="C24" i="3"/>
  <c r="C25" i="3"/>
  <c r="E17" i="3" l="1"/>
  <c r="D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</calcChain>
</file>

<file path=xl/sharedStrings.xml><?xml version="1.0" encoding="utf-8"?>
<sst xmlns="http://schemas.openxmlformats.org/spreadsheetml/2006/main" count="10" uniqueCount="7">
  <si>
    <t>Fecha</t>
  </si>
  <si>
    <t>Ventas</t>
  </si>
  <si>
    <t>Average of Ventas</t>
  </si>
  <si>
    <t>Grand Total</t>
  </si>
  <si>
    <t>Forecast(Ventas)</t>
  </si>
  <si>
    <t>Lower Confidence Bound(Ventas)</t>
  </si>
  <si>
    <t>Upper Confidence Bound(Ventas)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</si>
</sst>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 curso.xlsx]Sheet2!PivotTable1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Ventas</a:t>
            </a:r>
            <a:r>
              <a:rPr lang="en-US"/>
              <a:t> increases over time.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Sheet2!$A$3:$A$18</c:f>
              <c:strCache>
                <c:ptCount val="15"/>
                <c:pt idx="0">
                  <c:v>1/01/2023</c:v>
                </c:pt>
                <c:pt idx="1">
                  <c:v>1/02/2023</c:v>
                </c:pt>
                <c:pt idx="2">
                  <c:v>1/03/2023</c:v>
                </c:pt>
                <c:pt idx="3">
                  <c:v>1/04/2023</c:v>
                </c:pt>
                <c:pt idx="4">
                  <c:v>1/05/2023</c:v>
                </c:pt>
                <c:pt idx="5">
                  <c:v>1/06/2023</c:v>
                </c:pt>
                <c:pt idx="6">
                  <c:v>1/07/2023</c:v>
                </c:pt>
                <c:pt idx="7">
                  <c:v>1/08/2023</c:v>
                </c:pt>
                <c:pt idx="8">
                  <c:v>1/09/2023</c:v>
                </c:pt>
                <c:pt idx="9">
                  <c:v>1/10/2023</c:v>
                </c:pt>
                <c:pt idx="10">
                  <c:v>1/11/2023</c:v>
                </c:pt>
                <c:pt idx="11">
                  <c:v>1/12/2023</c:v>
                </c:pt>
                <c:pt idx="12">
                  <c:v>1/01/2024</c:v>
                </c:pt>
                <c:pt idx="13">
                  <c:v>1/02/2024</c:v>
                </c:pt>
                <c:pt idx="14">
                  <c:v>1/03/2024</c:v>
                </c:pt>
              </c:strCache>
            </c:strRef>
          </c:cat>
          <c:val>
            <c:numRef>
              <c:f>Sheet2!$B$3:$B$18</c:f>
              <c:numCache>
                <c:formatCode>General</c:formatCode>
                <c:ptCount val="15"/>
                <c:pt idx="0">
                  <c:v>12000</c:v>
                </c:pt>
                <c:pt idx="1">
                  <c:v>13500</c:v>
                </c:pt>
                <c:pt idx="2">
                  <c:v>14200</c:v>
                </c:pt>
                <c:pt idx="3">
                  <c:v>15000</c:v>
                </c:pt>
                <c:pt idx="4">
                  <c:v>16200</c:v>
                </c:pt>
                <c:pt idx="5">
                  <c:v>15800</c:v>
                </c:pt>
                <c:pt idx="6">
                  <c:v>17000</c:v>
                </c:pt>
                <c:pt idx="7">
                  <c:v>17500</c:v>
                </c:pt>
                <c:pt idx="8">
                  <c:v>16800</c:v>
                </c:pt>
                <c:pt idx="9">
                  <c:v>18000</c:v>
                </c:pt>
                <c:pt idx="10">
                  <c:v>19000</c:v>
                </c:pt>
                <c:pt idx="11">
                  <c:v>21000</c:v>
                </c:pt>
                <c:pt idx="12">
                  <c:v>22000</c:v>
                </c:pt>
                <c:pt idx="13">
                  <c:v>23500</c:v>
                </c:pt>
                <c:pt idx="14">
                  <c:v>24200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7-40AF-B29D-D417FA2C9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869455"/>
        <c:axId val="1474870895"/>
      </c:lineChart>
      <c:catAx>
        <c:axId val="147486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870895"/>
        <c:crosses val="autoZero"/>
        <c:auto val="1"/>
        <c:lblAlgn val="ctr"/>
        <c:lblOffset val="100"/>
        <c:noMultiLvlLbl val="0"/>
      </c:catAx>
      <c:valAx>
        <c:axId val="147487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869455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301462317210348E-2"/>
          <c:y val="3.633773051095885E-2"/>
          <c:w val="0.91948797704634744"/>
          <c:h val="0.721808501210076"/>
        </c:manualLayout>
      </c:layout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Sheet3!$B$2:$B$25</c:f>
              <c:numCache>
                <c:formatCode>General</c:formatCode>
                <c:ptCount val="24"/>
                <c:pt idx="0">
                  <c:v>12000</c:v>
                </c:pt>
                <c:pt idx="1">
                  <c:v>13500</c:v>
                </c:pt>
                <c:pt idx="2">
                  <c:v>14200</c:v>
                </c:pt>
                <c:pt idx="3">
                  <c:v>15000</c:v>
                </c:pt>
                <c:pt idx="4">
                  <c:v>16200</c:v>
                </c:pt>
                <c:pt idx="5">
                  <c:v>15800</c:v>
                </c:pt>
                <c:pt idx="6">
                  <c:v>17000</c:v>
                </c:pt>
                <c:pt idx="7">
                  <c:v>17500</c:v>
                </c:pt>
                <c:pt idx="8">
                  <c:v>16800</c:v>
                </c:pt>
                <c:pt idx="9">
                  <c:v>18000</c:v>
                </c:pt>
                <c:pt idx="10">
                  <c:v>19000</c:v>
                </c:pt>
                <c:pt idx="11">
                  <c:v>21000</c:v>
                </c:pt>
                <c:pt idx="12">
                  <c:v>22000</c:v>
                </c:pt>
                <c:pt idx="13">
                  <c:v>23500</c:v>
                </c:pt>
                <c:pt idx="14">
                  <c:v>24200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A-440A-A974-A70336375AD2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Forecast(Ventas)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Sheet3!$A$2:$A$25</c:f>
              <c:numCache>
                <c:formatCode>m/d/yyyy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Sheet3!$C$2:$C$25</c:f>
              <c:numCache>
                <c:formatCode>General</c:formatCode>
                <c:ptCount val="24"/>
                <c:pt idx="14">
                  <c:v>24200</c:v>
                </c:pt>
                <c:pt idx="15">
                  <c:v>23866.009128085861</c:v>
                </c:pt>
                <c:pt idx="16">
                  <c:v>24657.923977426413</c:v>
                </c:pt>
                <c:pt idx="17">
                  <c:v>25449.838826766969</c:v>
                </c:pt>
                <c:pt idx="18">
                  <c:v>26241.753676107521</c:v>
                </c:pt>
                <c:pt idx="19">
                  <c:v>27033.668525448076</c:v>
                </c:pt>
                <c:pt idx="20">
                  <c:v>27825.583374788628</c:v>
                </c:pt>
                <c:pt idx="21">
                  <c:v>28617.498224129184</c:v>
                </c:pt>
                <c:pt idx="22">
                  <c:v>29409.413073469736</c:v>
                </c:pt>
                <c:pt idx="23">
                  <c:v>30201.327922810291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A-440A-A974-A70336375AD2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Lower Confidence Bound(Ventas)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Sheet3!$A$2:$A$25</c:f>
              <c:numCache>
                <c:formatCode>m/d/yyyy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Sheet3!$D$2:$D$25</c:f>
              <c:numCache>
                <c:formatCode>General</c:formatCode>
                <c:ptCount val="24"/>
                <c:pt idx="14" formatCode="0.00">
                  <c:v>24200</c:v>
                </c:pt>
                <c:pt idx="15" formatCode="0.00">
                  <c:v>22264.529156369339</c:v>
                </c:pt>
                <c:pt idx="16" formatCode="0.00">
                  <c:v>23056.436799066236</c:v>
                </c:pt>
                <c:pt idx="17" formatCode="0.00">
                  <c:v>23848.338836675917</c:v>
                </c:pt>
                <c:pt idx="18" formatCode="0.00">
                  <c:v>24640.233667892157</c:v>
                </c:pt>
                <c:pt idx="19" formatCode="0.00">
                  <c:v>25432.119691573276</c:v>
                </c:pt>
                <c:pt idx="20" formatCode="0.00">
                  <c:v>26223.995306822144</c:v>
                </c:pt>
                <c:pt idx="21" formatCode="0.00">
                  <c:v>27015.858913082215</c:v>
                </c:pt>
                <c:pt idx="22" formatCode="0.00">
                  <c:v>27807.708910249483</c:v>
                </c:pt>
                <c:pt idx="23" formatCode="0.00">
                  <c:v>28599.543698800368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6A-440A-A974-A70336375AD2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Upper Confidence Bound(Ventas)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Sheet3!$A$2:$A$25</c:f>
              <c:numCache>
                <c:formatCode>m/d/yyyy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Sheet3!$E$2:$E$25</c:f>
              <c:numCache>
                <c:formatCode>General</c:formatCode>
                <c:ptCount val="24"/>
                <c:pt idx="14" formatCode="0.00">
                  <c:v>24200</c:v>
                </c:pt>
                <c:pt idx="15" formatCode="0.00">
                  <c:v>25467.489099802384</c:v>
                </c:pt>
                <c:pt idx="16" formatCode="0.00">
                  <c:v>26259.411155786591</c:v>
                </c:pt>
                <c:pt idx="17" formatCode="0.00">
                  <c:v>27051.33881685802</c:v>
                </c:pt>
                <c:pt idx="18" formatCode="0.00">
                  <c:v>27843.273684322885</c:v>
                </c:pt>
                <c:pt idx="19" formatCode="0.00">
                  <c:v>28635.217359322876</c:v>
                </c:pt>
                <c:pt idx="20" formatCode="0.00">
                  <c:v>29427.171442755112</c:v>
                </c:pt>
                <c:pt idx="21" formatCode="0.00">
                  <c:v>30219.137535176153</c:v>
                </c:pt>
                <c:pt idx="22" formatCode="0.00">
                  <c:v>31011.117236689988</c:v>
                </c:pt>
                <c:pt idx="23" formatCode="0.00">
                  <c:v>31803.112146820215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6A-440A-A974-A70336375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816655"/>
        <c:axId val="1474821935"/>
      </c:lineChart>
      <c:catAx>
        <c:axId val="147481665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821935"/>
        <c:crosses val="autoZero"/>
        <c:auto val="1"/>
        <c:lblAlgn val="ctr"/>
        <c:lblOffset val="100"/>
        <c:noMultiLvlLbl val="0"/>
      </c:catAx>
      <c:valAx>
        <c:axId val="14748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81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17</xdr:row>
      <xdr:rowOff>137160</xdr:rowOff>
    </xdr:from>
    <xdr:to>
      <xdr:col>9</xdr:col>
      <xdr:colOff>411480</xdr:colOff>
      <xdr:row>22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6AF780-428E-39C1-F321-3F6E3BEE7D3F}"/>
            </a:ext>
          </a:extLst>
        </xdr:cNvPr>
        <xdr:cNvSpPr txBox="1"/>
      </xdr:nvSpPr>
      <xdr:spPr>
        <a:xfrm>
          <a:off x="129540" y="3246120"/>
          <a:ext cx="5798820" cy="8610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Datos simulados con base en tendencias de ventas minoristas reportadas por Microsoft Learn y conjuntos de datos abiertos de retail (Kaggle).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14</xdr:col>
      <xdr:colOff>289560</xdr:colOff>
      <xdr:row>2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1AF2246-2877-4722-94F6-7DAEF266657D}"/>
            </a:ext>
          </a:extLst>
        </xdr:cNvPr>
        <xdr:cNvSpPr txBox="1"/>
      </xdr:nvSpPr>
      <xdr:spPr>
        <a:xfrm>
          <a:off x="3688080" y="0"/>
          <a:ext cx="516636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/>
            <a:t>¿cuál es la tendencia futura de las ventas según el modelo predictivo de Excel?</a:t>
          </a:r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137160</xdr:colOff>
      <xdr:row>19</xdr:row>
      <xdr:rowOff>83820</xdr:rowOff>
    </xdr:to>
    <xdr:graphicFrame macro="">
      <xdr:nvGraphicFramePr>
        <xdr:cNvPr id="2" name="Chart 1" descr="Chart type: Line. Ventas increases over time.&#10;&#10;Description automatically generated">
          <a:extLst>
            <a:ext uri="{FF2B5EF4-FFF2-40B4-BE49-F238E27FC236}">
              <a16:creationId xmlns:a16="http://schemas.microsoft.com/office/drawing/2014/main" id="{75BFB510-4B5E-A639-7B2D-215BE14D6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0</xdr:row>
      <xdr:rowOff>156210</xdr:rowOff>
    </xdr:from>
    <xdr:to>
      <xdr:col>16</xdr:col>
      <xdr:colOff>123825</xdr:colOff>
      <xdr:row>20</xdr:row>
      <xdr:rowOff>165735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B3EDE-2ACF-BF0F-AC51-456199845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243840</xdr:colOff>
      <xdr:row>22</xdr:row>
      <xdr:rowOff>152400</xdr:rowOff>
    </xdr:from>
    <xdr:to>
      <xdr:col>15</xdr:col>
      <xdr:colOff>533400</xdr:colOff>
      <xdr:row>25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E5A84E-E272-7408-9496-BD717C641D31}"/>
            </a:ext>
          </a:extLst>
        </xdr:cNvPr>
        <xdr:cNvSpPr txBox="1"/>
      </xdr:nvSpPr>
      <xdr:spPr>
        <a:xfrm>
          <a:off x="8039100" y="4175760"/>
          <a:ext cx="516636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/>
            <a:t>Cómo se comportarán las ventas en los próximos meses según el análisis predictivo de Excel?</a:t>
          </a:r>
          <a:endParaRPr lang="es-CO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" refreshedDate="46070.652686921298" createdVersion="8" refreshedVersion="8" minRefreshableVersion="3" recordCount="15" xr:uid="{B5421B66-D70C-429A-BB3F-C1C5B5A29E86}">
  <cacheSource type="worksheet">
    <worksheetSource ref="A1:B16" sheet="Sheet1"/>
  </cacheSource>
  <cacheFields count="2">
    <cacheField name="Fecha" numFmtId="14">
      <sharedItems containsSemiMixedTypes="0" containsNonDate="0" containsDate="1" containsString="0" minDate="2023-01-01T00:00:00" maxDate="2024-03-02T00:00:00" count="15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</sharedItems>
    </cacheField>
    <cacheField name="Ventas" numFmtId="0">
      <sharedItems containsSemiMixedTypes="0" containsString="0" containsNumber="1" containsInteger="1" minValue="12000" maxValue="24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12000"/>
  </r>
  <r>
    <x v="1"/>
    <n v="13500"/>
  </r>
  <r>
    <x v="2"/>
    <n v="14200"/>
  </r>
  <r>
    <x v="3"/>
    <n v="15000"/>
  </r>
  <r>
    <x v="4"/>
    <n v="16200"/>
  </r>
  <r>
    <x v="5"/>
    <n v="15800"/>
  </r>
  <r>
    <x v="6"/>
    <n v="17000"/>
  </r>
  <r>
    <x v="7"/>
    <n v="17500"/>
  </r>
  <r>
    <x v="8"/>
    <n v="16800"/>
  </r>
  <r>
    <x v="9"/>
    <n v="18000"/>
  </r>
  <r>
    <x v="10"/>
    <n v="19000"/>
  </r>
  <r>
    <x v="11"/>
    <n v="21000"/>
  </r>
  <r>
    <x v="12"/>
    <n v="22000"/>
  </r>
  <r>
    <x v="13"/>
    <n v="23500"/>
  </r>
  <r>
    <x v="14"/>
    <n v="24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18529-6501-4E82-B439-EE05D7833C8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8" firstHeaderRow="1" firstDataRow="1" firstDataCol="1"/>
  <pivotFields count="2">
    <pivotField axis="axisRow" compact="0" numFmtId="14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outline="0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Ventas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3403C-AAD5-4D89-81CD-EA2EF6317CE6}" name="Table1" displayName="Table1" ref="A1:E25" totalsRowShown="0">
  <autoFilter ref="A1:E25" xr:uid="{DFB3403C-AAD5-4D89-81CD-EA2EF6317CE6}"/>
  <tableColumns count="5">
    <tableColumn id="1" xr3:uid="{689EE190-8B12-4432-8DE3-CBD916C659E8}" name="Fecha" dataDxfId="2"/>
    <tableColumn id="2" xr3:uid="{7DC580F4-7C73-4710-B321-77D7BAB8B202}" name="Ventas"/>
    <tableColumn id="3" xr3:uid="{9C81044E-07C4-4412-975A-3A62A6F6493E}" name="Forecast(Ventas)">
      <calculatedColumnFormula>_xlfn.FORECAST.ETS(A2,$B$2:$B$16,$A$2:$A$16,1,1)</calculatedColumnFormula>
    </tableColumn>
    <tableColumn id="4" xr3:uid="{DA78D4B3-5E26-41EB-8BC9-210AF3665A75}" name="Lower Confidence Bound(Ventas)" dataDxfId="1">
      <calculatedColumnFormula>C2-_xlfn.FORECAST.ETS.CONFINT(A2,$B$2:$B$16,$A$2:$A$16,0.95,1,1)</calculatedColumnFormula>
    </tableColumn>
    <tableColumn id="5" xr3:uid="{0C55A290-F1FB-43DA-A51B-72416E9330EB}" name="Upper Confidence Bound(Ventas)" dataDxfId="0">
      <calculatedColumnFormula>C2+_xlfn.FORECAST.ETS.CONFINT(A2,$B$2:$B$16,$A$2:$A$16,0.95,1,1)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59E2-BFFD-443C-B9CB-B4A55CA57C66}">
  <dimension ref="A1:J22"/>
  <sheetViews>
    <sheetView workbookViewId="0">
      <selection sqref="A1:B16"/>
    </sheetView>
  </sheetViews>
  <sheetFormatPr defaultRowHeight="14.4" x14ac:dyDescent="0.3"/>
  <cols>
    <col min="1" max="1" width="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44927</v>
      </c>
      <c r="B2">
        <v>12000</v>
      </c>
    </row>
    <row r="3" spans="1:2" x14ac:dyDescent="0.3">
      <c r="A3" s="1">
        <v>44958</v>
      </c>
      <c r="B3">
        <v>13500</v>
      </c>
    </row>
    <row r="4" spans="1:2" x14ac:dyDescent="0.3">
      <c r="A4" s="1">
        <v>44986</v>
      </c>
      <c r="B4">
        <v>14200</v>
      </c>
    </row>
    <row r="5" spans="1:2" x14ac:dyDescent="0.3">
      <c r="A5" s="1">
        <v>45017</v>
      </c>
      <c r="B5">
        <v>15000</v>
      </c>
    </row>
    <row r="6" spans="1:2" x14ac:dyDescent="0.3">
      <c r="A6" s="1">
        <v>45047</v>
      </c>
      <c r="B6">
        <v>16200</v>
      </c>
    </row>
    <row r="7" spans="1:2" x14ac:dyDescent="0.3">
      <c r="A7" s="1">
        <v>45078</v>
      </c>
      <c r="B7">
        <v>15800</v>
      </c>
    </row>
    <row r="8" spans="1:2" x14ac:dyDescent="0.3">
      <c r="A8" s="1">
        <v>45108</v>
      </c>
      <c r="B8">
        <v>17000</v>
      </c>
    </row>
    <row r="9" spans="1:2" x14ac:dyDescent="0.3">
      <c r="A9" s="1">
        <v>45139</v>
      </c>
      <c r="B9">
        <v>17500</v>
      </c>
    </row>
    <row r="10" spans="1:2" x14ac:dyDescent="0.3">
      <c r="A10" s="1">
        <v>45170</v>
      </c>
      <c r="B10">
        <v>16800</v>
      </c>
    </row>
    <row r="11" spans="1:2" x14ac:dyDescent="0.3">
      <c r="A11" s="1">
        <v>45200</v>
      </c>
      <c r="B11">
        <v>18000</v>
      </c>
    </row>
    <row r="12" spans="1:2" x14ac:dyDescent="0.3">
      <c r="A12" s="1">
        <v>45231</v>
      </c>
      <c r="B12">
        <v>19000</v>
      </c>
    </row>
    <row r="13" spans="1:2" x14ac:dyDescent="0.3">
      <c r="A13" s="1">
        <v>45261</v>
      </c>
      <c r="B13">
        <v>21000</v>
      </c>
    </row>
    <row r="14" spans="1:2" x14ac:dyDescent="0.3">
      <c r="A14" s="1">
        <v>45292</v>
      </c>
      <c r="B14">
        <v>22000</v>
      </c>
    </row>
    <row r="15" spans="1:2" x14ac:dyDescent="0.3">
      <c r="A15" s="1">
        <v>45323</v>
      </c>
      <c r="B15">
        <v>23500</v>
      </c>
    </row>
    <row r="16" spans="1:2" x14ac:dyDescent="0.3">
      <c r="A16" s="1">
        <v>45352</v>
      </c>
      <c r="B16">
        <v>24200</v>
      </c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</sheetData>
  <mergeCells count="1">
    <mergeCell ref="A18:J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16A2-C72C-4A4A-BB01-9E70C795751A}">
  <dimension ref="A2:B18"/>
  <sheetViews>
    <sheetView workbookViewId="0"/>
  </sheetViews>
  <sheetFormatPr defaultRowHeight="14.4" x14ac:dyDescent="0.3"/>
  <cols>
    <col min="1" max="1" width="10.5546875" bestFit="1" customWidth="1"/>
    <col min="2" max="2" width="15.5546875" bestFit="1" customWidth="1"/>
  </cols>
  <sheetData>
    <row r="2" spans="1:2" x14ac:dyDescent="0.3">
      <c r="A2" s="4" t="s">
        <v>0</v>
      </c>
      <c r="B2" t="s">
        <v>2</v>
      </c>
    </row>
    <row r="3" spans="1:2" x14ac:dyDescent="0.3">
      <c r="A3" s="1">
        <v>44927</v>
      </c>
      <c r="B3" s="3">
        <v>12000</v>
      </c>
    </row>
    <row r="4" spans="1:2" x14ac:dyDescent="0.3">
      <c r="A4" s="1">
        <v>44958</v>
      </c>
      <c r="B4" s="3">
        <v>13500</v>
      </c>
    </row>
    <row r="5" spans="1:2" x14ac:dyDescent="0.3">
      <c r="A5" s="1">
        <v>44986</v>
      </c>
      <c r="B5" s="3">
        <v>14200</v>
      </c>
    </row>
    <row r="6" spans="1:2" x14ac:dyDescent="0.3">
      <c r="A6" s="1">
        <v>45017</v>
      </c>
      <c r="B6" s="3">
        <v>15000</v>
      </c>
    </row>
    <row r="7" spans="1:2" x14ac:dyDescent="0.3">
      <c r="A7" s="1">
        <v>45047</v>
      </c>
      <c r="B7" s="3">
        <v>16200</v>
      </c>
    </row>
    <row r="8" spans="1:2" x14ac:dyDescent="0.3">
      <c r="A8" s="1">
        <v>45078</v>
      </c>
      <c r="B8" s="3">
        <v>15800</v>
      </c>
    </row>
    <row r="9" spans="1:2" x14ac:dyDescent="0.3">
      <c r="A9" s="1">
        <v>45108</v>
      </c>
      <c r="B9" s="3">
        <v>17000</v>
      </c>
    </row>
    <row r="10" spans="1:2" x14ac:dyDescent="0.3">
      <c r="A10" s="1">
        <v>45139</v>
      </c>
      <c r="B10" s="3">
        <v>17500</v>
      </c>
    </row>
    <row r="11" spans="1:2" x14ac:dyDescent="0.3">
      <c r="A11" s="1">
        <v>45170</v>
      </c>
      <c r="B11" s="3">
        <v>16800</v>
      </c>
    </row>
    <row r="12" spans="1:2" x14ac:dyDescent="0.3">
      <c r="A12" s="1">
        <v>45200</v>
      </c>
      <c r="B12" s="3">
        <v>18000</v>
      </c>
    </row>
    <row r="13" spans="1:2" x14ac:dyDescent="0.3">
      <c r="A13" s="1">
        <v>45231</v>
      </c>
      <c r="B13" s="3">
        <v>19000</v>
      </c>
    </row>
    <row r="14" spans="1:2" x14ac:dyDescent="0.3">
      <c r="A14" s="1">
        <v>45261</v>
      </c>
      <c r="B14" s="3">
        <v>21000</v>
      </c>
    </row>
    <row r="15" spans="1:2" x14ac:dyDescent="0.3">
      <c r="A15" s="1">
        <v>45292</v>
      </c>
      <c r="B15" s="3">
        <v>22000</v>
      </c>
    </row>
    <row r="16" spans="1:2" x14ac:dyDescent="0.3">
      <c r="A16" s="1">
        <v>45323</v>
      </c>
      <c r="B16" s="3">
        <v>23500</v>
      </c>
    </row>
    <row r="17" spans="1:2" x14ac:dyDescent="0.3">
      <c r="A17" s="1">
        <v>45352</v>
      </c>
      <c r="B17" s="3">
        <v>24200</v>
      </c>
    </row>
    <row r="18" spans="1:2" x14ac:dyDescent="0.3">
      <c r="A18" s="1" t="s">
        <v>3</v>
      </c>
      <c r="B18" s="3">
        <v>17713.333333333332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28F8-FD1F-4D56-AA25-4F3C28B1204E}">
  <dimension ref="A1:P25"/>
  <sheetViews>
    <sheetView tabSelected="1" workbookViewId="0">
      <selection activeCell="F27" sqref="F27"/>
    </sheetView>
  </sheetViews>
  <sheetFormatPr defaultRowHeight="14.4" x14ac:dyDescent="0.3"/>
  <cols>
    <col min="1" max="1" width="9.33203125" bestFit="1" customWidth="1"/>
    <col min="2" max="2" width="9" bestFit="1" customWidth="1"/>
    <col min="3" max="3" width="17.109375" customWidth="1"/>
    <col min="4" max="4" width="30.109375" customWidth="1"/>
    <col min="5" max="5" width="30.33203125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">
      <c r="A2" s="1">
        <v>44927</v>
      </c>
      <c r="B2">
        <v>12000</v>
      </c>
    </row>
    <row r="3" spans="1:5" x14ac:dyDescent="0.3">
      <c r="A3" s="1">
        <v>44958</v>
      </c>
      <c r="B3">
        <v>13500</v>
      </c>
    </row>
    <row r="4" spans="1:5" x14ac:dyDescent="0.3">
      <c r="A4" s="1">
        <v>44986</v>
      </c>
      <c r="B4">
        <v>14200</v>
      </c>
    </row>
    <row r="5" spans="1:5" x14ac:dyDescent="0.3">
      <c r="A5" s="1">
        <v>45017</v>
      </c>
      <c r="B5">
        <v>15000</v>
      </c>
    </row>
    <row r="6" spans="1:5" x14ac:dyDescent="0.3">
      <c r="A6" s="1">
        <v>45047</v>
      </c>
      <c r="B6">
        <v>16200</v>
      </c>
    </row>
    <row r="7" spans="1:5" x14ac:dyDescent="0.3">
      <c r="A7" s="1">
        <v>45078</v>
      </c>
      <c r="B7">
        <v>15800</v>
      </c>
    </row>
    <row r="8" spans="1:5" x14ac:dyDescent="0.3">
      <c r="A8" s="1">
        <v>45108</v>
      </c>
      <c r="B8">
        <v>17000</v>
      </c>
    </row>
    <row r="9" spans="1:5" x14ac:dyDescent="0.3">
      <c r="A9" s="1">
        <v>45139</v>
      </c>
      <c r="B9">
        <v>17500</v>
      </c>
    </row>
    <row r="10" spans="1:5" x14ac:dyDescent="0.3">
      <c r="A10" s="1">
        <v>45170</v>
      </c>
      <c r="B10">
        <v>16800</v>
      </c>
    </row>
    <row r="11" spans="1:5" x14ac:dyDescent="0.3">
      <c r="A11" s="1">
        <v>45200</v>
      </c>
      <c r="B11">
        <v>18000</v>
      </c>
    </row>
    <row r="12" spans="1:5" x14ac:dyDescent="0.3">
      <c r="A12" s="1">
        <v>45231</v>
      </c>
      <c r="B12">
        <v>19000</v>
      </c>
    </row>
    <row r="13" spans="1:5" x14ac:dyDescent="0.3">
      <c r="A13" s="1">
        <v>45261</v>
      </c>
      <c r="B13">
        <v>21000</v>
      </c>
    </row>
    <row r="14" spans="1:5" x14ac:dyDescent="0.3">
      <c r="A14" s="1">
        <v>45292</v>
      </c>
      <c r="B14">
        <v>22000</v>
      </c>
    </row>
    <row r="15" spans="1:5" x14ac:dyDescent="0.3">
      <c r="A15" s="1">
        <v>45323</v>
      </c>
      <c r="B15">
        <v>23500</v>
      </c>
    </row>
    <row r="16" spans="1:5" x14ac:dyDescent="0.3">
      <c r="A16" s="1">
        <v>45352</v>
      </c>
      <c r="B16">
        <v>24200</v>
      </c>
      <c r="C16">
        <v>24200</v>
      </c>
      <c r="D16" s="5">
        <v>24200</v>
      </c>
      <c r="E16" s="5">
        <v>24200</v>
      </c>
    </row>
    <row r="17" spans="1:16" x14ac:dyDescent="0.3">
      <c r="A17" s="1">
        <v>45383</v>
      </c>
      <c r="C17">
        <f>_xlfn.FORECAST.ETS(A17,$B$2:$B$16,$A$2:$A$16,1,1)</f>
        <v>23866.009128085861</v>
      </c>
      <c r="D17" s="5">
        <f>C17-_xlfn.FORECAST.ETS.CONFINT(A17,$B$2:$B$16,$A$2:$A$16,0.95,1,1)</f>
        <v>22264.529156369339</v>
      </c>
      <c r="E17" s="5">
        <f>C17+_xlfn.FORECAST.ETS.CONFINT(A17,$B$2:$B$16,$A$2:$A$16,0.95,1,1)</f>
        <v>25467.489099802384</v>
      </c>
    </row>
    <row r="18" spans="1:16" x14ac:dyDescent="0.3">
      <c r="A18" s="1">
        <v>45413</v>
      </c>
      <c r="C18">
        <f>_xlfn.FORECAST.ETS(A18,$B$2:$B$16,$A$2:$A$16,1,1)</f>
        <v>24657.923977426413</v>
      </c>
      <c r="D18" s="5">
        <f>C18-_xlfn.FORECAST.ETS.CONFINT(A18,$B$2:$B$16,$A$2:$A$16,0.95,1,1)</f>
        <v>23056.436799066236</v>
      </c>
      <c r="E18" s="5">
        <f>C18+_xlfn.FORECAST.ETS.CONFINT(A18,$B$2:$B$16,$A$2:$A$16,0.95,1,1)</f>
        <v>26259.411155786591</v>
      </c>
    </row>
    <row r="19" spans="1:16" x14ac:dyDescent="0.3">
      <c r="A19" s="1">
        <v>45444</v>
      </c>
      <c r="C19">
        <f>_xlfn.FORECAST.ETS(A19,$B$2:$B$16,$A$2:$A$16,1,1)</f>
        <v>25449.838826766969</v>
      </c>
      <c r="D19" s="5">
        <f>C19-_xlfn.FORECAST.ETS.CONFINT(A19,$B$2:$B$16,$A$2:$A$16,0.95,1,1)</f>
        <v>23848.338836675917</v>
      </c>
      <c r="E19" s="5">
        <f>C19+_xlfn.FORECAST.ETS.CONFINT(A19,$B$2:$B$16,$A$2:$A$16,0.95,1,1)</f>
        <v>27051.33881685802</v>
      </c>
    </row>
    <row r="20" spans="1:16" x14ac:dyDescent="0.3">
      <c r="A20" s="1">
        <v>45474</v>
      </c>
      <c r="C20">
        <f>_xlfn.FORECAST.ETS(A20,$B$2:$B$16,$A$2:$A$16,1,1)</f>
        <v>26241.753676107521</v>
      </c>
      <c r="D20" s="5">
        <f>C20-_xlfn.FORECAST.ETS.CONFINT(A20,$B$2:$B$16,$A$2:$A$16,0.95,1,1)</f>
        <v>24640.233667892157</v>
      </c>
      <c r="E20" s="5">
        <f>C20+_xlfn.FORECAST.ETS.CONFINT(A20,$B$2:$B$16,$A$2:$A$16,0.95,1,1)</f>
        <v>27843.273684322885</v>
      </c>
    </row>
    <row r="21" spans="1:16" x14ac:dyDescent="0.3">
      <c r="A21" s="1">
        <v>45505</v>
      </c>
      <c r="C21">
        <f>_xlfn.FORECAST.ETS(A21,$B$2:$B$16,$A$2:$A$16,1,1)</f>
        <v>27033.668525448076</v>
      </c>
      <c r="D21" s="5">
        <f>C21-_xlfn.FORECAST.ETS.CONFINT(A21,$B$2:$B$16,$A$2:$A$16,0.95,1,1)</f>
        <v>25432.119691573276</v>
      </c>
      <c r="E21" s="5">
        <f>C21+_xlfn.FORECAST.ETS.CONFINT(A21,$B$2:$B$16,$A$2:$A$16,0.95,1,1)</f>
        <v>28635.217359322876</v>
      </c>
    </row>
    <row r="22" spans="1:16" x14ac:dyDescent="0.3">
      <c r="A22" s="1">
        <v>45536</v>
      </c>
      <c r="C22">
        <f>_xlfn.FORECAST.ETS(A22,$B$2:$B$16,$A$2:$A$16,1,1)</f>
        <v>27825.583374788628</v>
      </c>
      <c r="D22" s="5">
        <f>C22-_xlfn.FORECAST.ETS.CONFINT(A22,$B$2:$B$16,$A$2:$A$16,0.95,1,1)</f>
        <v>26223.995306822144</v>
      </c>
      <c r="E22" s="5">
        <f>C22+_xlfn.FORECAST.ETS.CONFINT(A22,$B$2:$B$16,$A$2:$A$16,0.95,1,1)</f>
        <v>29427.171442755112</v>
      </c>
    </row>
    <row r="23" spans="1:16" x14ac:dyDescent="0.3">
      <c r="A23" s="1">
        <v>45566</v>
      </c>
      <c r="C23">
        <f>_xlfn.FORECAST.ETS(A23,$B$2:$B$16,$A$2:$A$16,1,1)</f>
        <v>28617.498224129184</v>
      </c>
      <c r="D23" s="5">
        <f>C23-_xlfn.FORECAST.ETS.CONFINT(A23,$B$2:$B$16,$A$2:$A$16,0.95,1,1)</f>
        <v>27015.858913082215</v>
      </c>
      <c r="E23" s="5">
        <f>C23+_xlfn.FORECAST.ETS.CONFINT(A23,$B$2:$B$16,$A$2:$A$16,0.95,1,1)</f>
        <v>30219.137535176153</v>
      </c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1">
        <v>45597</v>
      </c>
      <c r="C24">
        <f>_xlfn.FORECAST.ETS(A24,$B$2:$B$16,$A$2:$A$16,1,1)</f>
        <v>29409.413073469736</v>
      </c>
      <c r="D24" s="5">
        <f>C24-_xlfn.FORECAST.ETS.CONFINT(A24,$B$2:$B$16,$A$2:$A$16,0.95,1,1)</f>
        <v>27807.708910249483</v>
      </c>
      <c r="E24" s="5">
        <f>C24+_xlfn.FORECAST.ETS.CONFINT(A24,$B$2:$B$16,$A$2:$A$16,0.95,1,1)</f>
        <v>31011.117236689988</v>
      </c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">
      <c r="A25" s="1">
        <v>45627</v>
      </c>
      <c r="C25">
        <f>_xlfn.FORECAST.ETS(A25,$B$2:$B$16,$A$2:$A$16,1,1)</f>
        <v>30201.327922810291</v>
      </c>
      <c r="D25" s="5">
        <f>C25-_xlfn.FORECAST.ETS.CONFINT(A25,$B$2:$B$16,$A$2:$A$16,0.95,1,1)</f>
        <v>28599.543698800368</v>
      </c>
      <c r="E25" s="5">
        <f>C25+_xlfn.FORECAST.ETS.CONFINT(A25,$B$2:$B$16,$A$2:$A$16,0.95,1,1)</f>
        <v>31803.112146820215</v>
      </c>
      <c r="H25" s="2"/>
      <c r="I25" s="2"/>
      <c r="J25" s="2"/>
      <c r="K25" s="2"/>
      <c r="L25" s="2"/>
      <c r="M25" s="2"/>
      <c r="N25" s="2"/>
      <c r="O25" s="2"/>
      <c r="P25" s="2"/>
    </row>
  </sheetData>
  <mergeCells count="1">
    <mergeCell ref="H23:P25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E463FDC61FA346B6C635B78650F9CC" ma:contentTypeVersion="7" ma:contentTypeDescription="Crear nuevo documento." ma:contentTypeScope="" ma:versionID="a084d97aea428abb2667542288452cc0">
  <xsd:schema xmlns:xsd="http://www.w3.org/2001/XMLSchema" xmlns:xs="http://www.w3.org/2001/XMLSchema" xmlns:p="http://schemas.microsoft.com/office/2006/metadata/properties" xmlns:ns3="44b45d98-f308-4246-aafd-5242852d8ec7" targetNamespace="http://schemas.microsoft.com/office/2006/metadata/properties" ma:root="true" ma:fieldsID="55acb7656626b307c3e6cda34f6b636b" ns3:_="">
    <xsd:import namespace="44b45d98-f308-4246-aafd-5242852d8e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45d98-f308-4246-aafd-5242852d8e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97650D-F0E0-48D6-B6CD-FEE9C39E4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b45d98-f308-4246-aafd-5242852d8e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EC06B5-E22A-4460-97DA-D211DD6EED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485B7C-B693-4BC7-A46F-45E9AA17BA2A}">
  <ds:schemaRefs>
    <ds:schemaRef ds:uri="http://schemas.microsoft.com/office/2006/documentManagement/types"/>
    <ds:schemaRef ds:uri="44b45d98-f308-4246-aafd-5242852d8ec7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torrado mancilla</dc:creator>
  <cp:lastModifiedBy>linda torrado mancilla</cp:lastModifiedBy>
  <dcterms:created xsi:type="dcterms:W3CDTF">2026-02-17T20:35:40Z</dcterms:created>
  <dcterms:modified xsi:type="dcterms:W3CDTF">2026-02-17T21:26:45Z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0x01010086E463FDC61FA346B6C635B78650F9CC</vt:lpwstr>
  </property>
</Properties>
</file>